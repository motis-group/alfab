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Houseboats\"/>
    </mc:Choice>
  </mc:AlternateContent>
  <xr:revisionPtr revIDLastSave="0" documentId="8_{3744104C-5584-4EC8-8AB1-FD40E6593425}" xr6:coauthVersionLast="47" xr6:coauthVersionMax="47" xr10:uidLastSave="{00000000-0000-0000-0000-000000000000}"/>
  <bookViews>
    <workbookView xWindow="-120" yWindow="-120" windowWidth="29040" windowHeight="15840" xr2:uid="{F19CCC3D-9ECC-4B11-8E95-F0F53076780B}"/>
  </bookViews>
  <sheets>
    <sheet name="AWNING COSTING" sheetId="1" r:id="rId1"/>
  </sheets>
  <definedNames>
    <definedName name="_xlnm.Print_Area" localSheetId="0">'AWNING COSTING'!$A$1:$F$19</definedName>
    <definedName name="Type_Customer___Boat_Name" localSheetId="0">'AWNING COSTING'!$A$2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5" i="1"/>
  <c r="E16" i="1"/>
  <c r="D16" i="1"/>
  <c r="A37" i="1" l="1"/>
  <c r="D37" i="1" s="1"/>
  <c r="E28" i="1" l="1"/>
  <c r="F29" i="1"/>
  <c r="A15" i="1" s="1"/>
  <c r="D6" i="1" l="1"/>
  <c r="D10" i="1"/>
  <c r="E15" i="1" l="1"/>
  <c r="D38" i="1"/>
  <c r="A4" i="1"/>
  <c r="D39" i="1" l="1"/>
  <c r="D40" i="1" s="1"/>
  <c r="A39" i="1"/>
  <c r="D13" i="1"/>
  <c r="E13" i="1" s="1"/>
  <c r="F1" i="1"/>
  <c r="D14" i="1" l="1"/>
  <c r="E14" i="1" s="1"/>
  <c r="D12" i="1"/>
  <c r="D11" i="1"/>
  <c r="E11" i="1" s="1"/>
  <c r="E10" i="1"/>
  <c r="D9" i="1"/>
  <c r="E9" i="1" s="1"/>
  <c r="D8" i="1"/>
  <c r="E8" i="1" s="1"/>
  <c r="E7" i="1"/>
  <c r="D4" i="1"/>
  <c r="E4" i="1" s="1"/>
  <c r="A12" i="1" l="1"/>
  <c r="E12" i="1" s="1"/>
  <c r="A6" i="1"/>
  <c r="E6" i="1" s="1"/>
  <c r="E17" i="1" l="1"/>
  <c r="E18" i="1" s="1"/>
  <c r="E19" i="1" s="1"/>
</calcChain>
</file>

<file path=xl/sharedStrings.xml><?xml version="1.0" encoding="utf-8"?>
<sst xmlns="http://schemas.openxmlformats.org/spreadsheetml/2006/main" count="45" uniqueCount="42">
  <si>
    <t>WINDOW WINDER</t>
  </si>
  <si>
    <t>WINDER MOUNT PLATE</t>
  </si>
  <si>
    <t>PAIR HINGES</t>
  </si>
  <si>
    <t>GLASS WINDER PLATE</t>
  </si>
  <si>
    <t>MINUTES  LABOUR</t>
  </si>
  <si>
    <t>AFB035</t>
  </si>
  <si>
    <t>WINDER</t>
  </si>
  <si>
    <t>SILICONE RUBBER SEAL</t>
  </si>
  <si>
    <t>M5 SCREW &amp; LOCK NUT</t>
  </si>
  <si>
    <t>PR HD HINGES</t>
  </si>
  <si>
    <t>ANCHOR PLATE</t>
  </si>
  <si>
    <t>T81 TRACK INFILL</t>
  </si>
  <si>
    <t>SEALANT</t>
  </si>
  <si>
    <t>EA  / PER MTR</t>
  </si>
  <si>
    <t>FLAT POLISH</t>
  </si>
  <si>
    <t>MTRS FRAME</t>
  </si>
  <si>
    <t>MTRS SILICONE RUBBER SEAL</t>
  </si>
  <si>
    <t>MARGIN</t>
  </si>
  <si>
    <t>SELLING PRICE</t>
  </si>
  <si>
    <t>BANDING  - SET PRICE</t>
  </si>
  <si>
    <t>METRES T81 TRACK INFILL</t>
  </si>
  <si>
    <t>TOTAL COST</t>
  </si>
  <si>
    <t>LABOUR VARIABLE - QTY</t>
  </si>
  <si>
    <t>SET OF FIXINGS</t>
  </si>
  <si>
    <r>
      <t xml:space="preserve">GLAZING - </t>
    </r>
    <r>
      <rPr>
        <sz val="16"/>
        <color theme="1"/>
        <rFont val="Calibri"/>
        <family val="2"/>
        <scheme val="minor"/>
      </rPr>
      <t>See Below for detail</t>
    </r>
  </si>
  <si>
    <t>Set Up</t>
  </si>
  <si>
    <t>Per Each</t>
  </si>
  <si>
    <t>&lt;-- Type Qty of this size</t>
  </si>
  <si>
    <t>Minutes</t>
  </si>
  <si>
    <t>Qty</t>
  </si>
  <si>
    <t>Minutes per ea.</t>
  </si>
  <si>
    <t>Glass Height (mm)</t>
  </si>
  <si>
    <t>Glass Width (mm)</t>
  </si>
  <si>
    <t>SUPERGREY TGN  P/SQM</t>
  </si>
  <si>
    <t>Window #</t>
  </si>
  <si>
    <t>PARTS LIST &amp; COST + 10%</t>
  </si>
  <si>
    <t>Type Customer / boat Name Here</t>
  </si>
  <si>
    <t>FLYSCREEN &amp; CLIPS</t>
  </si>
  <si>
    <t>FLY &amp; clips Selling Price)</t>
  </si>
  <si>
    <t>MTRS ANCHOR PLATE</t>
  </si>
  <si>
    <t>EA</t>
  </si>
  <si>
    <t>Program Build Date - 17th Feb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</si>
</sst>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C09]* #,##0.00_-;\-[$$-C09]* #,##0.00_-;_-[$$-C09]* &quot;-&quot;??_-;_-@_-"/>
    <numFmt numFmtId="165" formatCode="#,##0.00_ ;\-#,##0.00\ "/>
    <numFmt numFmtId="166" formatCode="_-[$$-C09]* #,##0_-;\-[$$-C09]* #,##0_-;_-[$$-C09]* &quot;-&quot;_-;_-@_-"/>
    <numFmt numFmtId="167" formatCode="#,##0_ ;\-#,##0\ "/>
    <numFmt numFmtId="168" formatCode="[$$-C09]#,##0;[Red][$$-C09]#,##0"/>
  </numFmts>
  <fonts count="14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1" fillId="0" borderId="4" xfId="0" applyNumberFormat="1" applyFont="1" applyBorder="1"/>
    <xf numFmtId="0" fontId="1" fillId="0" borderId="1" xfId="0" applyFont="1" applyBorder="1"/>
    <xf numFmtId="0" fontId="1" fillId="0" borderId="5" xfId="0" applyFont="1" applyBorder="1"/>
    <xf numFmtId="164" fontId="1" fillId="0" borderId="6" xfId="0" applyNumberFormat="1" applyFont="1" applyBorder="1"/>
    <xf numFmtId="14" fontId="1" fillId="0" borderId="0" xfId="0" applyNumberFormat="1" applyFont="1"/>
    <xf numFmtId="39" fontId="1" fillId="0" borderId="0" xfId="0" applyNumberFormat="1" applyFont="1"/>
    <xf numFmtId="164" fontId="1" fillId="0" borderId="7" xfId="0" applyNumberFormat="1" applyFont="1" applyBorder="1" applyAlignment="1">
      <alignment horizontal="center"/>
    </xf>
    <xf numFmtId="165" fontId="1" fillId="0" borderId="4" xfId="0" applyNumberFormat="1" applyFont="1" applyBorder="1"/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0" fontId="1" fillId="0" borderId="14" xfId="0" applyFont="1" applyBorder="1"/>
    <xf numFmtId="0" fontId="1" fillId="0" borderId="12" xfId="0" applyFont="1" applyBorder="1"/>
    <xf numFmtId="0" fontId="1" fillId="0" borderId="15" xfId="0" applyFont="1" applyBorder="1" applyAlignment="1">
      <alignment horizontal="right" vertical="center"/>
    </xf>
    <xf numFmtId="167" fontId="9" fillId="0" borderId="6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9" fontId="1" fillId="0" borderId="0" xfId="0" applyNumberFormat="1" applyFont="1" applyAlignment="1">
      <alignment horizontal="center"/>
    </xf>
    <xf numFmtId="0" fontId="1" fillId="0" borderId="18" xfId="0" applyFont="1" applyBorder="1" applyAlignment="1">
      <alignment horizontal="center"/>
    </xf>
    <xf numFmtId="166" fontId="2" fillId="0" borderId="19" xfId="0" applyNumberFormat="1" applyFont="1" applyBorder="1"/>
    <xf numFmtId="0" fontId="11" fillId="0" borderId="6" xfId="0" applyFont="1" applyBorder="1" applyAlignment="1">
      <alignment horizontal="center"/>
    </xf>
    <xf numFmtId="39" fontId="11" fillId="0" borderId="0" xfId="0" applyNumberFormat="1" applyFont="1"/>
    <xf numFmtId="168" fontId="11" fillId="0" borderId="0" xfId="0" applyNumberFormat="1" applyFont="1" applyAlignment="1">
      <alignment horizontal="right"/>
    </xf>
    <xf numFmtId="1" fontId="8" fillId="0" borderId="13" xfId="0" applyNumberFormat="1" applyFont="1" applyBorder="1" applyAlignment="1" applyProtection="1">
      <alignment horizontal="center" vertical="center"/>
      <protection locked="0"/>
    </xf>
    <xf numFmtId="1" fontId="8" fillId="0" borderId="11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/>
      <protection locked="0"/>
    </xf>
    <xf numFmtId="0" fontId="6" fillId="2" borderId="12" xfId="0" applyFont="1" applyFill="1" applyBorder="1" applyAlignment="1" applyProtection="1">
      <alignment horizontal="center"/>
      <protection locked="0"/>
    </xf>
    <xf numFmtId="17" fontId="12" fillId="0" borderId="2" xfId="0" applyNumberFormat="1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5" fillId="0" borderId="2" xfId="0" applyFont="1" applyBorder="1" applyAlignment="1" applyProtection="1">
      <alignment horizontal="left" shrinkToFit="1"/>
      <protection locked="0"/>
    </xf>
    <xf numFmtId="0" fontId="4" fillId="0" borderId="3" xfId="0" applyFont="1" applyBorder="1" applyAlignment="1" applyProtection="1">
      <alignment horizontal="left" shrinkToFit="1"/>
      <protection locked="0"/>
    </xf>
    <xf numFmtId="0" fontId="8" fillId="0" borderId="16" xfId="0" applyFont="1" applyBorder="1" applyAlignment="1">
      <alignment horizontal="left"/>
    </xf>
    <xf numFmtId="0" fontId="10" fillId="0" borderId="17" xfId="0" applyFont="1" applyBorder="1"/>
    <xf numFmtId="0" fontId="1" fillId="2" borderId="0" xfId="0" applyFont="1" applyFill="1"/>
    <xf numFmtId="164" fontId="1" fillId="0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46AE-4D81-4640-89FA-714D7CD50393}">
  <sheetPr codeName="Sheet1">
    <pageSetUpPr fitToPage="1"/>
  </sheetPr>
  <dimension ref="A1:F41"/>
  <sheetViews>
    <sheetView tabSelected="1" showRuler="0" showWhiteSpace="0" view="pageLayout" zoomScaleNormal="75" workbookViewId="0">
      <selection activeCell="C40" sqref="C40"/>
    </sheetView>
  </sheetViews>
  <sheetFormatPr defaultColWidth="19.75" defaultRowHeight="37.5" customHeight="1" x14ac:dyDescent="0.35"/>
  <cols>
    <col min="1" max="1" width="19.75" style="3"/>
    <col min="2" max="2" width="37.375" style="1" customWidth="1"/>
    <col min="3" max="3" width="26.75" style="1" customWidth="1"/>
    <col min="4" max="4" width="22.875" style="3" customWidth="1"/>
    <col min="5" max="5" width="22.75" style="2" bestFit="1" customWidth="1"/>
    <col min="6" max="6" width="23.125" style="1" bestFit="1" customWidth="1"/>
    <col min="7" max="16384" width="19.75" style="1"/>
  </cols>
  <sheetData>
    <row r="1" spans="1:6" ht="37.5" customHeight="1" thickBot="1" x14ac:dyDescent="0.4">
      <c r="A1" s="40" t="s">
        <v>41</v>
      </c>
      <c r="B1" s="41"/>
      <c r="C1" s="42"/>
      <c r="D1" s="3" t="s">
        <v>31</v>
      </c>
      <c r="E1" s="2" t="s">
        <v>32</v>
      </c>
      <c r="F1" s="13">
        <f ca="1">NOW()</f>
        <v>45149.347747453707</v>
      </c>
    </row>
    <row r="2" spans="1:6" ht="37.5" customHeight="1" thickTop="1" thickBot="1" x14ac:dyDescent="0.4">
      <c r="A2" s="43" t="s">
        <v>36</v>
      </c>
      <c r="B2" s="44"/>
      <c r="C2" s="39" t="s">
        <v>34</v>
      </c>
      <c r="D2" s="36">
        <v>1220</v>
      </c>
      <c r="E2" s="37">
        <v>1100</v>
      </c>
      <c r="F2" s="35"/>
    </row>
    <row r="3" spans="1:6" ht="37.5" customHeight="1" thickTop="1" x14ac:dyDescent="0.45">
      <c r="C3" s="38">
        <v>6</v>
      </c>
      <c r="D3" s="45" t="s">
        <v>27</v>
      </c>
      <c r="E3" s="46"/>
    </row>
    <row r="4" spans="1:6" ht="37.5" customHeight="1" x14ac:dyDescent="0.35">
      <c r="A4" s="21">
        <f>((D2+E2)*2)/1000</f>
        <v>4.6399999999999997</v>
      </c>
      <c r="B4" s="22" t="s">
        <v>15</v>
      </c>
      <c r="D4" s="17">
        <f>C25</f>
        <v>10</v>
      </c>
      <c r="E4" s="14">
        <f>A4*D4</f>
        <v>46.4</v>
      </c>
    </row>
    <row r="5" spans="1:6" ht="37.5" customHeight="1" x14ac:dyDescent="0.35">
      <c r="A5" s="21">
        <v>1.2</v>
      </c>
      <c r="B5" s="22" t="s">
        <v>39</v>
      </c>
      <c r="D5" s="17">
        <f>C26</f>
        <v>4</v>
      </c>
      <c r="E5" s="14">
        <f>A5*D5</f>
        <v>4.8</v>
      </c>
    </row>
    <row r="6" spans="1:6" ht="37.5" customHeight="1" x14ac:dyDescent="0.35">
      <c r="A6" s="23">
        <f>A4</f>
        <v>4.6399999999999997</v>
      </c>
      <c r="B6" s="24" t="s">
        <v>16</v>
      </c>
      <c r="D6" s="17">
        <f>C31</f>
        <v>6.6</v>
      </c>
      <c r="E6" s="14">
        <f t="shared" ref="E6:E7" si="0">A6*D6</f>
        <v>30.623999999999995</v>
      </c>
    </row>
    <row r="7" spans="1:6" ht="37.5" customHeight="1" x14ac:dyDescent="0.35">
      <c r="A7" s="21">
        <v>1</v>
      </c>
      <c r="B7" s="22" t="s">
        <v>0</v>
      </c>
      <c r="D7" s="17">
        <v>52</v>
      </c>
      <c r="E7" s="14">
        <f t="shared" si="0"/>
        <v>52</v>
      </c>
    </row>
    <row r="8" spans="1:6" ht="37.5" customHeight="1" x14ac:dyDescent="0.35">
      <c r="A8" s="21">
        <v>1</v>
      </c>
      <c r="B8" s="22" t="s">
        <v>2</v>
      </c>
      <c r="D8" s="17">
        <f t="shared" ref="D7:D9" si="1">C28</f>
        <v>38.5</v>
      </c>
      <c r="E8" s="14">
        <f>A8*D8</f>
        <v>38.5</v>
      </c>
    </row>
    <row r="9" spans="1:6" ht="37.5" customHeight="1" x14ac:dyDescent="0.35">
      <c r="A9" s="23">
        <v>1</v>
      </c>
      <c r="B9" s="24" t="s">
        <v>1</v>
      </c>
      <c r="D9" s="17">
        <f t="shared" si="1"/>
        <v>25</v>
      </c>
      <c r="E9" s="14">
        <f t="shared" ref="E9:E15" si="2">A9*D9</f>
        <v>25</v>
      </c>
    </row>
    <row r="10" spans="1:6" ht="37.5" customHeight="1" x14ac:dyDescent="0.35">
      <c r="A10" s="23">
        <v>1</v>
      </c>
      <c r="B10" s="24" t="s">
        <v>3</v>
      </c>
      <c r="D10" s="17">
        <f>C30</f>
        <v>25</v>
      </c>
      <c r="E10" s="14">
        <f t="shared" si="2"/>
        <v>25</v>
      </c>
    </row>
    <row r="11" spans="1:6" ht="37.5" customHeight="1" x14ac:dyDescent="0.35">
      <c r="A11" s="21">
        <v>20</v>
      </c>
      <c r="B11" s="22" t="s">
        <v>23</v>
      </c>
      <c r="D11" s="17">
        <f>C32</f>
        <v>1</v>
      </c>
      <c r="E11" s="14">
        <f t="shared" si="2"/>
        <v>20</v>
      </c>
    </row>
    <row r="12" spans="1:6" ht="37.5" customHeight="1" x14ac:dyDescent="0.35">
      <c r="A12" s="21">
        <f>A4</f>
        <v>4.6399999999999997</v>
      </c>
      <c r="B12" s="22" t="s">
        <v>20</v>
      </c>
      <c r="D12" s="17">
        <f>C33</f>
        <v>3.5</v>
      </c>
      <c r="E12" s="14">
        <f t="shared" si="2"/>
        <v>16.239999999999998</v>
      </c>
    </row>
    <row r="13" spans="1:6" ht="37.5" customHeight="1" x14ac:dyDescent="0.35">
      <c r="A13" s="21">
        <v>1</v>
      </c>
      <c r="B13" s="22" t="s">
        <v>12</v>
      </c>
      <c r="D13" s="17">
        <f>C35</f>
        <v>10</v>
      </c>
      <c r="E13" s="14">
        <f t="shared" si="2"/>
        <v>10</v>
      </c>
    </row>
    <row r="14" spans="1:6" ht="37.5" customHeight="1" x14ac:dyDescent="0.35">
      <c r="A14" s="3">
        <v>1</v>
      </c>
      <c r="B14" s="11" t="s">
        <v>24</v>
      </c>
      <c r="D14" s="17">
        <f>D40</f>
        <v>350.55439999999999</v>
      </c>
      <c r="E14" s="34">
        <f t="shared" si="2"/>
        <v>350.55439999999999</v>
      </c>
    </row>
    <row r="15" spans="1:6" ht="37.5" customHeight="1" x14ac:dyDescent="0.35">
      <c r="A15" s="33">
        <f>F29</f>
        <v>340</v>
      </c>
      <c r="B15" s="22" t="s">
        <v>4</v>
      </c>
      <c r="D15" s="17">
        <v>1.25</v>
      </c>
      <c r="E15" s="14">
        <f t="shared" si="2"/>
        <v>425</v>
      </c>
    </row>
    <row r="16" spans="1:6" ht="37.5" customHeight="1" x14ac:dyDescent="0.35">
      <c r="A16" s="3">
        <v>1</v>
      </c>
      <c r="B16" s="1" t="s">
        <v>38</v>
      </c>
      <c r="D16" s="17">
        <f>C34</f>
        <v>75</v>
      </c>
      <c r="E16" s="14">
        <f t="shared" ref="E16" si="3">A16*D16</f>
        <v>75</v>
      </c>
    </row>
    <row r="17" spans="2:6" ht="37.5" customHeight="1" x14ac:dyDescent="0.35">
      <c r="D17" s="3" t="s">
        <v>21</v>
      </c>
      <c r="E17" s="16">
        <f>SUM(E4:E15)+E16</f>
        <v>1119.1183999999998</v>
      </c>
    </row>
    <row r="18" spans="2:6" ht="37.5" customHeight="1" thickBot="1" x14ac:dyDescent="0.4">
      <c r="B18" s="22" t="s">
        <v>17</v>
      </c>
      <c r="C18" s="22"/>
      <c r="D18" s="30">
        <v>0.4</v>
      </c>
      <c r="E18" s="2">
        <f>E17*D18</f>
        <v>447.64735999999994</v>
      </c>
    </row>
    <row r="19" spans="2:6" ht="37.5" customHeight="1" thickBot="1" x14ac:dyDescent="0.55000000000000004">
      <c r="D19" s="31" t="s">
        <v>18</v>
      </c>
      <c r="E19" s="32">
        <f>E17+E18</f>
        <v>1566.7657599999998</v>
      </c>
      <c r="F19" s="1" t="s">
        <v>40</v>
      </c>
    </row>
    <row r="24" spans="2:6" ht="37.5" customHeight="1" x14ac:dyDescent="0.35">
      <c r="B24" s="4" t="s">
        <v>35</v>
      </c>
      <c r="C24" s="5" t="s">
        <v>13</v>
      </c>
      <c r="D24" s="18"/>
      <c r="E24" s="12" t="s">
        <v>22</v>
      </c>
      <c r="F24" s="22"/>
    </row>
    <row r="25" spans="2:6" ht="37.5" customHeight="1" x14ac:dyDescent="0.35">
      <c r="B25" s="25" t="s">
        <v>5</v>
      </c>
      <c r="C25" s="6">
        <v>10</v>
      </c>
      <c r="D25" s="17"/>
      <c r="F25" s="27" t="s">
        <v>28</v>
      </c>
    </row>
    <row r="26" spans="2:6" ht="37.5" customHeight="1" x14ac:dyDescent="0.35">
      <c r="B26" s="26" t="s">
        <v>10</v>
      </c>
      <c r="C26" s="7">
        <v>4</v>
      </c>
      <c r="D26" s="17"/>
      <c r="E26" s="2" t="s">
        <v>25</v>
      </c>
      <c r="F26" s="1">
        <v>60</v>
      </c>
    </row>
    <row r="27" spans="2:6" ht="37.5" customHeight="1" x14ac:dyDescent="0.35">
      <c r="B27" s="26" t="s">
        <v>6</v>
      </c>
      <c r="C27" s="7">
        <v>38.5</v>
      </c>
      <c r="D27" s="17"/>
      <c r="E27" s="2" t="s">
        <v>26</v>
      </c>
      <c r="F27" s="1">
        <v>330</v>
      </c>
    </row>
    <row r="28" spans="2:6" ht="37.5" customHeight="1" x14ac:dyDescent="0.5">
      <c r="B28" s="26" t="s">
        <v>9</v>
      </c>
      <c r="C28" s="7">
        <v>38.5</v>
      </c>
      <c r="D28" s="29" t="s">
        <v>29</v>
      </c>
      <c r="E28" s="28">
        <f>C3</f>
        <v>6</v>
      </c>
    </row>
    <row r="29" spans="2:6" ht="37.5" customHeight="1" x14ac:dyDescent="0.35">
      <c r="B29" s="26" t="s">
        <v>1</v>
      </c>
      <c r="C29" s="7">
        <v>25</v>
      </c>
      <c r="D29" s="17"/>
      <c r="E29" s="2" t="s">
        <v>30</v>
      </c>
      <c r="F29" s="26">
        <f>F26/C3+F27</f>
        <v>340</v>
      </c>
    </row>
    <row r="30" spans="2:6" ht="37.5" customHeight="1" x14ac:dyDescent="0.35">
      <c r="B30" s="26" t="s">
        <v>3</v>
      </c>
      <c r="C30" s="7">
        <v>25</v>
      </c>
      <c r="D30" s="17"/>
    </row>
    <row r="31" spans="2:6" ht="37.5" customHeight="1" x14ac:dyDescent="0.35">
      <c r="B31" s="26" t="s">
        <v>7</v>
      </c>
      <c r="C31" s="7">
        <v>6.6</v>
      </c>
      <c r="D31" s="17"/>
    </row>
    <row r="32" spans="2:6" ht="37.5" customHeight="1" x14ac:dyDescent="0.35">
      <c r="B32" s="26" t="s">
        <v>8</v>
      </c>
      <c r="C32" s="7">
        <v>1</v>
      </c>
      <c r="D32" s="17"/>
    </row>
    <row r="33" spans="1:4" ht="37.5" customHeight="1" x14ac:dyDescent="0.35">
      <c r="B33" s="26" t="s">
        <v>11</v>
      </c>
      <c r="C33" s="7">
        <v>3.5</v>
      </c>
      <c r="D33" s="17"/>
    </row>
    <row r="34" spans="1:4" ht="37.5" customHeight="1" x14ac:dyDescent="0.35">
      <c r="B34" s="26" t="s">
        <v>37</v>
      </c>
      <c r="C34" s="7">
        <v>75</v>
      </c>
      <c r="D34" s="17"/>
    </row>
    <row r="35" spans="1:4" ht="37.5" customHeight="1" x14ac:dyDescent="0.35">
      <c r="B35" s="26" t="s">
        <v>12</v>
      </c>
      <c r="C35" s="8">
        <v>10</v>
      </c>
      <c r="D35" s="17"/>
    </row>
    <row r="36" spans="1:4" ht="37.5" customHeight="1" x14ac:dyDescent="0.35">
      <c r="B36" s="10"/>
      <c r="C36" s="2"/>
      <c r="D36" s="17"/>
    </row>
    <row r="37" spans="1:4" ht="37.5" customHeight="1" x14ac:dyDescent="0.35">
      <c r="A37" s="3">
        <f>(D2*E2)/1000000</f>
        <v>1.3420000000000001</v>
      </c>
      <c r="B37" s="10" t="s">
        <v>33</v>
      </c>
      <c r="C37" s="9">
        <v>198</v>
      </c>
      <c r="D37" s="15">
        <f>A37*C37</f>
        <v>265.71600000000001</v>
      </c>
    </row>
    <row r="38" spans="1:4" ht="37.5" customHeight="1" x14ac:dyDescent="0.35">
      <c r="B38" s="10" t="s">
        <v>19</v>
      </c>
      <c r="C38" s="2">
        <v>63.68</v>
      </c>
      <c r="D38" s="19">
        <f>C38</f>
        <v>63.68</v>
      </c>
    </row>
    <row r="39" spans="1:4" ht="37.5" customHeight="1" thickBot="1" x14ac:dyDescent="0.4">
      <c r="A39" s="3">
        <f>A4</f>
        <v>4.6399999999999997</v>
      </c>
      <c r="B39" s="11" t="s">
        <v>14</v>
      </c>
      <c r="C39" s="48">
        <v>4.5599999999999996</v>
      </c>
      <c r="D39" s="19">
        <f>A4*C39</f>
        <v>21.158399999999997</v>
      </c>
    </row>
    <row r="40" spans="1:4" ht="37.5" customHeight="1" thickTop="1" thickBot="1" x14ac:dyDescent="0.4">
      <c r="C40" s="47"/>
      <c r="D40" s="20">
        <f>D37+D38+D39</f>
        <v>350.55439999999999</v>
      </c>
    </row>
    <row r="41" spans="1:4" ht="37.5" customHeight="1" thickTop="1" x14ac:dyDescent="0.35"/>
  </sheetData>
  <sheetProtection selectLockedCells="1"/>
  <mergeCells count="3">
    <mergeCell ref="A1:C1"/>
    <mergeCell ref="A2:B2"/>
    <mergeCell ref="D3:E3"/>
  </mergeCells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AWNING COSTING</vt:lpstr>
      <vt:lpstr>'AWNING COSTING'!Print_Area</vt:lpstr>
      <vt:lpstr>'AWNING COSTING'!Type_Customer___Boat_Name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2020-01-12T04:40:48Z</cp:lastPrinted>
  <dcterms:created xsi:type="dcterms:W3CDTF">2019-12-31T05:28:33Z</dcterms:created>
  <dcterms:modified xsi:type="dcterms:W3CDTF">2023-08-10T22:21:25Z</dcterms:modified>
</cp:coreProperties>
</file>